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mreis-my.sharepoint.com/personal/filip_niculete_marcusmillichap_com/Documents/LAAA Team/Proposals/Glen's Proposals/2026/420-428 W Stocker St, Glendale/Docs for Cursor/"/>
    </mc:Choice>
  </mc:AlternateContent>
  <xr:revisionPtr revIDLastSave="0" documentId="8_{B80A1D35-240D-4582-8B5D-327D91C6C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021126" sheetId="1" r:id="rId1"/>
    <sheet name="Sheet3" sheetId="4" r:id="rId2"/>
    <sheet name="Sheet2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G12" i="1"/>
  <c r="F12" i="1"/>
  <c r="E12" i="1"/>
  <c r="G11" i="1"/>
  <c r="F11" i="1"/>
  <c r="E11" i="1"/>
  <c r="K10" i="1"/>
  <c r="M10" i="1" s="1"/>
  <c r="J9" i="1"/>
  <c r="J12" i="1" s="1"/>
  <c r="M8" i="1"/>
  <c r="M11" i="1" s="1"/>
  <c r="G21" i="4"/>
  <c r="G16" i="4"/>
  <c r="J7" i="1"/>
  <c r="L7" i="1" s="1"/>
  <c r="M7" i="1"/>
  <c r="K6" i="1"/>
  <c r="M9" i="1"/>
  <c r="M3" i="1"/>
  <c r="M12" i="1" s="1"/>
  <c r="G13" i="3"/>
  <c r="G11" i="3"/>
  <c r="M6" i="1"/>
  <c r="L10" i="1"/>
  <c r="L8" i="1"/>
  <c r="L6" i="1"/>
  <c r="L3" i="1"/>
  <c r="I3" i="2"/>
  <c r="I4" i="2" s="1"/>
  <c r="I6" i="2" s="1"/>
  <c r="I2" i="2"/>
  <c r="H3" i="1"/>
  <c r="H12" i="1" s="1"/>
  <c r="I3" i="1"/>
  <c r="I11" i="1" s="1"/>
  <c r="H4" i="1"/>
  <c r="H11" i="1" s="1"/>
  <c r="I4" i="1"/>
  <c r="H5" i="1"/>
  <c r="I5" i="1"/>
  <c r="H6" i="1"/>
  <c r="I6" i="1"/>
  <c r="H7" i="1"/>
  <c r="I7" i="1"/>
  <c r="H8" i="1"/>
  <c r="I8" i="1"/>
  <c r="H9" i="1"/>
  <c r="I9" i="1"/>
  <c r="H10" i="1"/>
  <c r="I10" i="1"/>
  <c r="J11" i="1" l="1"/>
  <c r="I12" i="1"/>
  <c r="K11" i="1"/>
  <c r="L9" i="1"/>
  <c r="L12" i="1" s="1"/>
  <c r="K12" i="1"/>
  <c r="L11" i="1" l="1"/>
</calcChain>
</file>

<file path=xl/sharedStrings.xml><?xml version="1.0" encoding="utf-8"?>
<sst xmlns="http://schemas.openxmlformats.org/spreadsheetml/2006/main" count="119" uniqueCount="52">
  <si>
    <t>Property Address</t>
  </si>
  <si>
    <t>Property City</t>
  </si>
  <si>
    <t>Submarket Name</t>
  </si>
  <si>
    <t>Building SF</t>
  </si>
  <si>
    <t>Number Of Units</t>
  </si>
  <si>
    <t>Year Built</t>
  </si>
  <si>
    <t>Sale Price</t>
  </si>
  <si>
    <t>Price Per Unit</t>
  </si>
  <si>
    <t>Price Per SF</t>
  </si>
  <si>
    <t>Sale Date</t>
  </si>
  <si>
    <t>Glendale</t>
  </si>
  <si>
    <t>437 W Glenoaks Blvd</t>
  </si>
  <si>
    <t>Verdugo Viejo</t>
  </si>
  <si>
    <t>559 Glenwood Rd</t>
  </si>
  <si>
    <t>Glenwood</t>
  </si>
  <si>
    <t>Rossmoyne</t>
  </si>
  <si>
    <t>336 E Dryden St</t>
  </si>
  <si>
    <t>125 E Fairview Ave</t>
  </si>
  <si>
    <t>1244 N Columbus Ave</t>
  </si>
  <si>
    <t>617 W Stocker St</t>
  </si>
  <si>
    <t>950 N Louise St</t>
  </si>
  <si>
    <t>704 Palm Dr</t>
  </si>
  <si>
    <t>NOI</t>
  </si>
  <si>
    <t>ype</t>
  </si>
  <si>
    <t># of Units</t>
  </si>
  <si>
    <t>Bedrooms</t>
  </si>
  <si>
    <t>Baths</t>
  </si>
  <si>
    <t>Furnished</t>
  </si>
  <si>
    <t>Rent</t>
  </si>
  <si>
    <t>Actual Rent</t>
  </si>
  <si>
    <t>Projected Rent</t>
  </si>
  <si>
    <t>Unit 1</t>
  </si>
  <si>
    <t>No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</si>
  <si>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</si>
  <si>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</si>
  <si>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</si>
  <si>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</si>
  <si>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</si>
  <si>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</si>
  <si>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</si>
  <si>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</si>
  <si>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pe</t>
  </si>
  <si>
    <t>Unit 10</t>
  </si>
  <si>
    <t>Unit 11</t>
  </si>
  <si>
    <t>Unit 12</t>
  </si>
  <si>
    <t>Gross income</t>
  </si>
  <si>
    <t>Current CAP</t>
  </si>
  <si>
    <t>Current GRM</t>
  </si>
  <si>
    <t>n/a</t>
  </si>
  <si>
    <t>Averages</t>
  </si>
  <si>
    <t>Medians</t>
  </si>
  <si>
    <t>Confirmed Sale Comps in Glendale for 420-428 Stocker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</si>
</sst>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"/>
    <numFmt numFmtId="165" formatCode="\$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  <font>
      <b/>
      <sz val="12"/>
      <color rgb="FF000000"/>
      <name val="Open Sans"/>
    </font>
    <font>
      <sz val="12"/>
      <color rgb="FF000000"/>
      <name val="Open Sans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4" fillId="3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8" fontId="5" fillId="2" borderId="1" xfId="0" applyNumberFormat="1" applyFont="1" applyFill="1" applyBorder="1" applyAlignment="1">
      <alignment vertical="top"/>
    </xf>
    <xf numFmtId="8" fontId="0" fillId="0" borderId="0" xfId="0" applyNumberForma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N12" sqref="A1:N12"/>
    </sheetView>
  </sheetViews>
  <sheetFormatPr defaultRowHeight="15" x14ac:dyDescent="0.25"/>
  <cols>
    <col min="1" max="1" width="20.28515625" style="13" bestFit="1" customWidth="1"/>
    <col min="2" max="2" width="12.5703125" style="13" bestFit="1" customWidth="1"/>
    <col min="3" max="3" width="16.42578125" style="13" bestFit="1" customWidth="1"/>
    <col min="4" max="4" width="10.7109375" style="14" bestFit="1" customWidth="1"/>
    <col min="5" max="5" width="16.140625" style="15" bestFit="1" customWidth="1"/>
    <col min="6" max="6" width="9.5703125" style="15" bestFit="1" customWidth="1"/>
    <col min="7" max="7" width="10.140625" style="16" bestFit="1" customWidth="1"/>
    <col min="8" max="8" width="13.28515625" style="16" bestFit="1" customWidth="1"/>
    <col min="9" max="9" width="11.28515625" style="17" bestFit="1" customWidth="1"/>
    <col min="10" max="10" width="13.140625" style="16" bestFit="1" customWidth="1"/>
    <col min="11" max="11" width="8.5703125" style="16" bestFit="1" customWidth="1"/>
    <col min="12" max="12" width="12.5703125" style="18" bestFit="1" customWidth="1"/>
    <col min="13" max="13" width="11.7109375" style="16" bestFit="1" customWidth="1"/>
    <col min="14" max="14" width="10.7109375" style="20" bestFit="1" customWidth="1"/>
    <col min="15" max="15" width="10.85546875" style="16" bestFit="1" customWidth="1"/>
    <col min="16" max="16384" width="9.140625" style="13"/>
  </cols>
  <sheetData>
    <row r="1" spans="1:15" ht="26.25" x14ac:dyDescent="0.25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5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8" t="s">
        <v>7</v>
      </c>
      <c r="I2" s="9" t="s">
        <v>8</v>
      </c>
      <c r="J2" s="10" t="s">
        <v>45</v>
      </c>
      <c r="K2" s="8" t="s">
        <v>22</v>
      </c>
      <c r="L2" s="11" t="s">
        <v>47</v>
      </c>
      <c r="M2" s="10" t="s">
        <v>46</v>
      </c>
      <c r="N2" s="12" t="s">
        <v>9</v>
      </c>
      <c r="O2" s="8"/>
    </row>
    <row r="3" spans="1:15" x14ac:dyDescent="0.25">
      <c r="A3" s="13" t="s">
        <v>11</v>
      </c>
      <c r="B3" s="13" t="s">
        <v>10</v>
      </c>
      <c r="C3" s="13" t="s">
        <v>12</v>
      </c>
      <c r="D3" s="14">
        <v>6580</v>
      </c>
      <c r="E3" s="15">
        <v>9</v>
      </c>
      <c r="F3" s="15">
        <v>1962</v>
      </c>
      <c r="G3" s="16">
        <v>2800000</v>
      </c>
      <c r="H3" s="16">
        <f t="shared" ref="H3:H10" si="0">G3/E3</f>
        <v>311111.11111111112</v>
      </c>
      <c r="I3" s="17">
        <f t="shared" ref="I3:I10" si="1">G3/D3</f>
        <v>425.531914893617</v>
      </c>
      <c r="J3" s="16">
        <v>209378.52</v>
      </c>
      <c r="K3" s="16">
        <v>138000</v>
      </c>
      <c r="L3" s="18">
        <f>G3/J3</f>
        <v>13.372909503802015</v>
      </c>
      <c r="M3" s="19">
        <f>K3/G3</f>
        <v>4.9285714285714287E-2</v>
      </c>
      <c r="N3" s="20">
        <v>46022</v>
      </c>
    </row>
    <row r="4" spans="1:15" x14ac:dyDescent="0.25">
      <c r="A4" s="13" t="s">
        <v>13</v>
      </c>
      <c r="B4" s="13" t="s">
        <v>10</v>
      </c>
      <c r="C4" s="13" t="s">
        <v>14</v>
      </c>
      <c r="D4" s="14">
        <v>6642</v>
      </c>
      <c r="E4" s="15">
        <v>7</v>
      </c>
      <c r="F4" s="15">
        <v>1952</v>
      </c>
      <c r="G4" s="16">
        <v>2565000</v>
      </c>
      <c r="H4" s="16">
        <f t="shared" si="0"/>
        <v>366428.57142857142</v>
      </c>
      <c r="I4" s="17">
        <f t="shared" si="1"/>
        <v>386.17886178861789</v>
      </c>
      <c r="J4" s="21" t="s">
        <v>48</v>
      </c>
      <c r="K4" s="21" t="s">
        <v>48</v>
      </c>
      <c r="L4" s="21" t="s">
        <v>48</v>
      </c>
      <c r="M4" s="21" t="s">
        <v>48</v>
      </c>
      <c r="N4" s="20">
        <v>45999</v>
      </c>
    </row>
    <row r="5" spans="1:15" x14ac:dyDescent="0.25">
      <c r="A5" s="13" t="s">
        <v>21</v>
      </c>
      <c r="B5" s="13" t="s">
        <v>10</v>
      </c>
      <c r="C5" s="13" t="s">
        <v>14</v>
      </c>
      <c r="D5" s="14">
        <v>18373</v>
      </c>
      <c r="E5" s="15">
        <v>14</v>
      </c>
      <c r="F5" s="15">
        <v>1987</v>
      </c>
      <c r="G5" s="16">
        <v>6350000</v>
      </c>
      <c r="H5" s="16">
        <f t="shared" si="0"/>
        <v>453571.42857142858</v>
      </c>
      <c r="I5" s="17">
        <f t="shared" si="1"/>
        <v>345.61584934414628</v>
      </c>
      <c r="J5" s="21" t="s">
        <v>48</v>
      </c>
      <c r="K5" s="21" t="s">
        <v>48</v>
      </c>
      <c r="L5" s="21" t="s">
        <v>48</v>
      </c>
      <c r="M5" s="21" t="s">
        <v>48</v>
      </c>
      <c r="N5" s="20">
        <v>45961</v>
      </c>
    </row>
    <row r="6" spans="1:15" x14ac:dyDescent="0.25">
      <c r="A6" s="13" t="s">
        <v>16</v>
      </c>
      <c r="B6" s="13" t="s">
        <v>10</v>
      </c>
      <c r="C6" s="13" t="s">
        <v>15</v>
      </c>
      <c r="D6" s="14">
        <v>7866</v>
      </c>
      <c r="E6" s="15">
        <v>8</v>
      </c>
      <c r="F6" s="15">
        <v>1960</v>
      </c>
      <c r="G6" s="16">
        <v>3240000</v>
      </c>
      <c r="H6" s="16">
        <f t="shared" si="0"/>
        <v>405000</v>
      </c>
      <c r="I6" s="17">
        <f t="shared" si="1"/>
        <v>411.89931350114415</v>
      </c>
      <c r="J6" s="16">
        <v>241260</v>
      </c>
      <c r="K6" s="16">
        <f>J6*0.65</f>
        <v>156819</v>
      </c>
      <c r="L6" s="18">
        <f>G6/J6</f>
        <v>13.429495150460085</v>
      </c>
      <c r="M6" s="19">
        <f>K6/G6</f>
        <v>4.8400925925925924E-2</v>
      </c>
      <c r="N6" s="20">
        <v>45909</v>
      </c>
    </row>
    <row r="7" spans="1:15" x14ac:dyDescent="0.25">
      <c r="A7" s="13" t="s">
        <v>17</v>
      </c>
      <c r="B7" s="13" t="s">
        <v>10</v>
      </c>
      <c r="C7" s="13" t="s">
        <v>15</v>
      </c>
      <c r="D7" s="14">
        <v>10295</v>
      </c>
      <c r="E7" s="15">
        <v>9</v>
      </c>
      <c r="F7" s="15">
        <v>1986</v>
      </c>
      <c r="G7" s="16">
        <v>4240000</v>
      </c>
      <c r="H7" s="16">
        <f t="shared" si="0"/>
        <v>471111.11111111112</v>
      </c>
      <c r="I7" s="17">
        <f t="shared" si="1"/>
        <v>411.85041282175814</v>
      </c>
      <c r="J7" s="16">
        <f>12*(3495+19925)*1.1</f>
        <v>309144</v>
      </c>
      <c r="K7" s="16">
        <v>205000</v>
      </c>
      <c r="L7" s="18">
        <f>G7/J7</f>
        <v>13.715291255854877</v>
      </c>
      <c r="M7" s="19">
        <f>K7/G7</f>
        <v>4.8349056603773588E-2</v>
      </c>
      <c r="N7" s="20">
        <v>45825</v>
      </c>
    </row>
    <row r="8" spans="1:15" x14ac:dyDescent="0.25">
      <c r="A8" s="13" t="s">
        <v>18</v>
      </c>
      <c r="B8" s="13" t="s">
        <v>10</v>
      </c>
      <c r="C8" s="13" t="s">
        <v>12</v>
      </c>
      <c r="D8" s="14">
        <v>7424</v>
      </c>
      <c r="E8" s="15">
        <v>12</v>
      </c>
      <c r="F8" s="15">
        <v>1953</v>
      </c>
      <c r="G8" s="16">
        <v>3650000</v>
      </c>
      <c r="H8" s="16">
        <f t="shared" si="0"/>
        <v>304166.66666666669</v>
      </c>
      <c r="I8" s="17">
        <f t="shared" si="1"/>
        <v>491.64870689655174</v>
      </c>
      <c r="J8" s="16">
        <v>226560</v>
      </c>
      <c r="K8" s="16">
        <v>160000</v>
      </c>
      <c r="L8" s="18">
        <f>G8/J8</f>
        <v>16.110522598870055</v>
      </c>
      <c r="M8" s="19">
        <f>K8/G8</f>
        <v>4.3835616438356165E-2</v>
      </c>
      <c r="N8" s="20">
        <v>45807</v>
      </c>
    </row>
    <row r="9" spans="1:15" x14ac:dyDescent="0.25">
      <c r="A9" s="13" t="s">
        <v>19</v>
      </c>
      <c r="B9" s="13" t="s">
        <v>10</v>
      </c>
      <c r="C9" s="13" t="s">
        <v>14</v>
      </c>
      <c r="D9" s="14">
        <v>8816</v>
      </c>
      <c r="E9" s="15">
        <v>9</v>
      </c>
      <c r="F9" s="15">
        <v>1962</v>
      </c>
      <c r="G9" s="16">
        <v>3546000</v>
      </c>
      <c r="H9" s="16">
        <f t="shared" si="0"/>
        <v>394000</v>
      </c>
      <c r="I9" s="17">
        <f t="shared" si="1"/>
        <v>402.22323049001812</v>
      </c>
      <c r="J9" s="16">
        <f>19907*12</f>
        <v>238884</v>
      </c>
      <c r="K9" s="16">
        <v>169000</v>
      </c>
      <c r="L9" s="18">
        <f>G9/J9</f>
        <v>14.844024714924398</v>
      </c>
      <c r="M9" s="19">
        <f>K9/G9</f>
        <v>4.7659334461364916E-2</v>
      </c>
      <c r="N9" s="20">
        <v>45708</v>
      </c>
    </row>
    <row r="10" spans="1:15" x14ac:dyDescent="0.25">
      <c r="A10" s="13" t="s">
        <v>20</v>
      </c>
      <c r="B10" s="13" t="s">
        <v>10</v>
      </c>
      <c r="C10" s="13" t="s">
        <v>15</v>
      </c>
      <c r="D10" s="14">
        <v>34700</v>
      </c>
      <c r="E10" s="15">
        <v>25</v>
      </c>
      <c r="F10" s="15">
        <v>1967</v>
      </c>
      <c r="G10" s="16">
        <v>9250000</v>
      </c>
      <c r="H10" s="16">
        <f t="shared" si="0"/>
        <v>370000</v>
      </c>
      <c r="I10" s="17">
        <f t="shared" si="1"/>
        <v>266.57060518731987</v>
      </c>
      <c r="J10" s="16">
        <v>797340</v>
      </c>
      <c r="K10" s="16">
        <f>J10*0.6</f>
        <v>478404</v>
      </c>
      <c r="L10" s="18">
        <f>G10/J10</f>
        <v>11.601073569618983</v>
      </c>
      <c r="M10" s="19">
        <f>K10/G10</f>
        <v>5.1719351351351354E-2</v>
      </c>
      <c r="N10" s="20">
        <v>45681</v>
      </c>
    </row>
    <row r="11" spans="1:15" ht="15.75" thickBot="1" x14ac:dyDescent="0.3">
      <c r="A11" s="22"/>
      <c r="B11" s="22"/>
      <c r="C11" s="30" t="s">
        <v>49</v>
      </c>
      <c r="D11" s="23">
        <f>AVERAGE(D3:D10)</f>
        <v>12587</v>
      </c>
      <c r="E11" s="24">
        <f t="shared" ref="E11:M11" si="2">AVERAGE(E3:E10)</f>
        <v>11.625</v>
      </c>
      <c r="F11" s="24">
        <f t="shared" si="2"/>
        <v>1966.125</v>
      </c>
      <c r="G11" s="25">
        <f t="shared" si="2"/>
        <v>4455125</v>
      </c>
      <c r="H11" s="25">
        <f t="shared" si="2"/>
        <v>384423.61111111112</v>
      </c>
      <c r="I11" s="26">
        <f t="shared" si="2"/>
        <v>392.68986186539661</v>
      </c>
      <c r="J11" s="25">
        <f t="shared" si="2"/>
        <v>337094.42</v>
      </c>
      <c r="K11" s="25">
        <f t="shared" si="2"/>
        <v>217870.5</v>
      </c>
      <c r="L11" s="27">
        <f t="shared" si="2"/>
        <v>13.845552798921736</v>
      </c>
      <c r="M11" s="28">
        <f t="shared" si="2"/>
        <v>4.8208333177747698E-2</v>
      </c>
      <c r="N11" s="29"/>
    </row>
    <row r="12" spans="1:15" ht="16.5" thickTop="1" thickBot="1" x14ac:dyDescent="0.3">
      <c r="A12" s="22"/>
      <c r="B12" s="22"/>
      <c r="C12" s="30" t="s">
        <v>50</v>
      </c>
      <c r="D12" s="23">
        <f>MEDIAN(D3:D10)</f>
        <v>8341</v>
      </c>
      <c r="E12" s="24">
        <f t="shared" ref="E12:M12" si="3">MEDIAN(E3:E10)</f>
        <v>9</v>
      </c>
      <c r="F12" s="24">
        <f t="shared" si="3"/>
        <v>1962</v>
      </c>
      <c r="G12" s="25">
        <f t="shared" si="3"/>
        <v>3598000</v>
      </c>
      <c r="H12" s="25">
        <f t="shared" si="3"/>
        <v>382000</v>
      </c>
      <c r="I12" s="26">
        <f t="shared" si="3"/>
        <v>407.03682165588816</v>
      </c>
      <c r="J12" s="25">
        <f t="shared" si="3"/>
        <v>240072</v>
      </c>
      <c r="K12" s="25">
        <f t="shared" si="3"/>
        <v>164500</v>
      </c>
      <c r="L12" s="27">
        <f t="shared" si="3"/>
        <v>13.572393203157482</v>
      </c>
      <c r="M12" s="28">
        <f t="shared" si="3"/>
        <v>4.8374991264849759E-2</v>
      </c>
      <c r="N12" s="29"/>
    </row>
    <row r="13" spans="1:15" ht="15.75" thickTop="1" x14ac:dyDescent="0.25">
      <c r="M13" s="19"/>
    </row>
    <row r="14" spans="1:15" x14ac:dyDescent="0.25">
      <c r="M14" s="19"/>
    </row>
    <row r="15" spans="1:15" x14ac:dyDescent="0.25">
      <c r="M15" s="19"/>
    </row>
    <row r="16" spans="1:15" x14ac:dyDescent="0.25">
      <c r="M16" s="19"/>
    </row>
    <row r="17" spans="13:13" x14ac:dyDescent="0.25">
      <c r="M17" s="19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1321-0F80-4FAB-BDE7-A8A14E85FEA5}">
  <dimension ref="A1:H21"/>
  <sheetViews>
    <sheetView workbookViewId="0">
      <selection activeCell="G21" sqref="G21"/>
    </sheetView>
  </sheetViews>
  <sheetFormatPr defaultRowHeight="15" x14ac:dyDescent="0.25"/>
  <cols>
    <col min="7" max="7" width="14.85546875" bestFit="1" customWidth="1"/>
  </cols>
  <sheetData>
    <row r="1" spans="1:8" ht="18.75" thickBot="1" x14ac:dyDescent="0.3">
      <c r="A1" s="1" t="s">
        <v>41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ht="19.5" thickTop="1" thickBot="1" x14ac:dyDescent="0.3">
      <c r="A2" s="2" t="s">
        <v>31</v>
      </c>
      <c r="B2" s="2">
        <v>1</v>
      </c>
      <c r="C2" s="2">
        <v>2</v>
      </c>
      <c r="D2" s="2">
        <v>1</v>
      </c>
      <c r="E2" s="2" t="s">
        <v>32</v>
      </c>
      <c r="F2" s="3">
        <v>2000</v>
      </c>
      <c r="G2" s="3">
        <v>2000</v>
      </c>
      <c r="H2" s="3">
        <v>2400</v>
      </c>
    </row>
    <row r="3" spans="1:8" ht="18.75" thickBot="1" x14ac:dyDescent="0.3">
      <c r="A3" s="2" t="s">
        <v>33</v>
      </c>
      <c r="B3" s="2">
        <v>1</v>
      </c>
      <c r="C3" s="2">
        <v>1</v>
      </c>
      <c r="D3" s="2">
        <v>1</v>
      </c>
      <c r="E3" s="2" t="s">
        <v>32</v>
      </c>
      <c r="F3" s="3">
        <v>1370</v>
      </c>
      <c r="G3" s="3">
        <v>1370</v>
      </c>
      <c r="H3" s="3">
        <v>2100</v>
      </c>
    </row>
    <row r="4" spans="1:8" ht="18.75" thickBot="1" x14ac:dyDescent="0.3">
      <c r="A4" s="2" t="s">
        <v>34</v>
      </c>
      <c r="B4" s="2">
        <v>1</v>
      </c>
      <c r="C4" s="2">
        <v>1</v>
      </c>
      <c r="D4" s="2">
        <v>1</v>
      </c>
      <c r="E4" s="2" t="s">
        <v>32</v>
      </c>
      <c r="F4" s="3">
        <v>1150</v>
      </c>
      <c r="G4" s="3">
        <v>1150</v>
      </c>
      <c r="H4" s="3">
        <v>2100</v>
      </c>
    </row>
    <row r="5" spans="1:8" ht="18.75" thickBot="1" x14ac:dyDescent="0.3">
      <c r="A5" s="2" t="s">
        <v>35</v>
      </c>
      <c r="B5" s="2">
        <v>1</v>
      </c>
      <c r="C5" s="2">
        <v>1</v>
      </c>
      <c r="D5" s="2">
        <v>1</v>
      </c>
      <c r="E5" s="2" t="s">
        <v>32</v>
      </c>
      <c r="F5" s="3">
        <v>1800</v>
      </c>
      <c r="G5" s="3">
        <v>1800</v>
      </c>
      <c r="H5" s="3">
        <v>2100</v>
      </c>
    </row>
    <row r="6" spans="1:8" ht="18.75" thickBot="1" x14ac:dyDescent="0.3">
      <c r="A6" s="2" t="s">
        <v>36</v>
      </c>
      <c r="B6" s="2">
        <v>1</v>
      </c>
      <c r="C6" s="2">
        <v>1</v>
      </c>
      <c r="D6" s="2">
        <v>1</v>
      </c>
      <c r="E6" s="2" t="s">
        <v>32</v>
      </c>
      <c r="F6" s="3">
        <v>1700</v>
      </c>
      <c r="G6" s="3">
        <v>1700</v>
      </c>
      <c r="H6" s="3">
        <v>2100</v>
      </c>
    </row>
    <row r="7" spans="1:8" ht="18.75" thickBot="1" x14ac:dyDescent="0.3">
      <c r="A7" s="2" t="s">
        <v>37</v>
      </c>
      <c r="B7" s="2">
        <v>1</v>
      </c>
      <c r="C7" s="2">
        <v>1</v>
      </c>
      <c r="D7" s="2">
        <v>1</v>
      </c>
      <c r="E7" s="2" t="s">
        <v>32</v>
      </c>
      <c r="F7" s="3">
        <v>1450</v>
      </c>
      <c r="G7" s="3">
        <v>1450</v>
      </c>
      <c r="H7" s="3">
        <v>2100</v>
      </c>
    </row>
    <row r="8" spans="1:8" ht="18.75" thickBot="1" x14ac:dyDescent="0.3">
      <c r="A8" s="2" t="s">
        <v>38</v>
      </c>
      <c r="B8" s="2">
        <v>1</v>
      </c>
      <c r="C8" s="2">
        <v>2</v>
      </c>
      <c r="D8" s="2">
        <v>1</v>
      </c>
      <c r="E8" s="2" t="s">
        <v>32</v>
      </c>
      <c r="F8" s="3">
        <v>1540</v>
      </c>
      <c r="G8" s="3">
        <v>1540</v>
      </c>
      <c r="H8" s="3">
        <v>2400</v>
      </c>
    </row>
    <row r="9" spans="1:8" ht="18.75" thickBot="1" x14ac:dyDescent="0.3">
      <c r="A9" s="2" t="s">
        <v>39</v>
      </c>
      <c r="B9" s="2">
        <v>1</v>
      </c>
      <c r="C9" s="2">
        <v>1</v>
      </c>
      <c r="D9" s="2">
        <v>1</v>
      </c>
      <c r="E9" s="2" t="s">
        <v>32</v>
      </c>
      <c r="F9" s="3">
        <v>1600</v>
      </c>
      <c r="G9" s="3">
        <v>1600</v>
      </c>
      <c r="H9" s="3">
        <v>2100</v>
      </c>
    </row>
    <row r="10" spans="1:8" ht="18.75" thickBot="1" x14ac:dyDescent="0.3">
      <c r="A10" s="2" t="s">
        <v>40</v>
      </c>
      <c r="B10" s="2">
        <v>1</v>
      </c>
      <c r="C10" s="2">
        <v>1</v>
      </c>
      <c r="D10" s="2">
        <v>1</v>
      </c>
      <c r="E10" s="2" t="s">
        <v>32</v>
      </c>
      <c r="F10" s="3">
        <v>1550</v>
      </c>
      <c r="G10" s="3">
        <v>1550</v>
      </c>
      <c r="H10" s="3">
        <v>2100</v>
      </c>
    </row>
    <row r="11" spans="1:8" ht="18.75" thickBot="1" x14ac:dyDescent="0.3">
      <c r="A11" s="2" t="s">
        <v>42</v>
      </c>
      <c r="B11" s="2">
        <v>1</v>
      </c>
      <c r="C11" s="2">
        <v>1</v>
      </c>
      <c r="D11" s="2">
        <v>1</v>
      </c>
      <c r="E11" s="2" t="s">
        <v>32</v>
      </c>
      <c r="F11" s="3">
        <v>1700</v>
      </c>
      <c r="G11" s="3">
        <v>1700</v>
      </c>
      <c r="H11" s="3">
        <v>2100</v>
      </c>
    </row>
    <row r="12" spans="1:8" ht="18.75" thickBot="1" x14ac:dyDescent="0.3">
      <c r="A12" s="2" t="s">
        <v>43</v>
      </c>
      <c r="B12" s="2">
        <v>1</v>
      </c>
      <c r="C12" s="2">
        <v>1</v>
      </c>
      <c r="D12" s="2">
        <v>1</v>
      </c>
      <c r="E12" s="2" t="s">
        <v>32</v>
      </c>
      <c r="F12" s="3">
        <v>1700</v>
      </c>
      <c r="G12" s="3">
        <v>1700</v>
      </c>
      <c r="H12" s="3">
        <v>2100</v>
      </c>
    </row>
    <row r="13" spans="1:8" ht="18.75" thickBot="1" x14ac:dyDescent="0.3">
      <c r="A13" s="2" t="s">
        <v>44</v>
      </c>
      <c r="B13" s="2">
        <v>1</v>
      </c>
      <c r="C13" s="2">
        <v>1</v>
      </c>
      <c r="D13" s="2">
        <v>1</v>
      </c>
      <c r="E13" s="2" t="s">
        <v>32</v>
      </c>
      <c r="F13" s="3">
        <v>1320</v>
      </c>
      <c r="G13" s="3">
        <v>1320</v>
      </c>
      <c r="H13" s="3">
        <v>2100</v>
      </c>
    </row>
    <row r="16" spans="1:8" x14ac:dyDescent="0.25">
      <c r="G16" s="4">
        <f>SUM(G2:G15)</f>
        <v>18880</v>
      </c>
    </row>
    <row r="21" spans="7:7" x14ac:dyDescent="0.25">
      <c r="G21" s="4">
        <f>G16*12</f>
        <v>226560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4640-E982-4766-B8A4-C0F99CB62679}">
  <dimension ref="A1:H13"/>
  <sheetViews>
    <sheetView workbookViewId="0">
      <selection activeCell="G13" sqref="G13"/>
    </sheetView>
  </sheetViews>
  <sheetFormatPr defaultRowHeight="15" x14ac:dyDescent="0.25"/>
  <cols>
    <col min="7" max="7" width="14.85546875" bestFit="1" customWidth="1"/>
    <col min="8" max="8" width="18.28515625" bestFit="1" customWidth="1"/>
  </cols>
  <sheetData>
    <row r="1" spans="1:8" ht="18.75" thickBo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ht="19.5" thickTop="1" thickBot="1" x14ac:dyDescent="0.3">
      <c r="A2" s="2" t="s">
        <v>31</v>
      </c>
      <c r="B2" s="2">
        <v>1</v>
      </c>
      <c r="C2" s="2">
        <v>1</v>
      </c>
      <c r="D2" s="2">
        <v>1</v>
      </c>
      <c r="E2" s="2" t="s">
        <v>32</v>
      </c>
      <c r="F2" s="3">
        <v>1795</v>
      </c>
      <c r="G2" s="3">
        <v>1795</v>
      </c>
      <c r="H2" s="3">
        <v>2200</v>
      </c>
    </row>
    <row r="3" spans="1:8" ht="18.75" thickBot="1" x14ac:dyDescent="0.3">
      <c r="A3" s="2" t="s">
        <v>33</v>
      </c>
      <c r="B3" s="2">
        <v>1</v>
      </c>
      <c r="C3" s="2">
        <v>2</v>
      </c>
      <c r="D3" s="2">
        <v>1</v>
      </c>
      <c r="E3" s="2" t="s">
        <v>32</v>
      </c>
      <c r="F3" s="3">
        <v>2131</v>
      </c>
      <c r="G3" s="3">
        <v>2131</v>
      </c>
      <c r="H3" s="3">
        <v>2700</v>
      </c>
    </row>
    <row r="4" spans="1:8" ht="18.75" thickBot="1" x14ac:dyDescent="0.3">
      <c r="A4" s="2" t="s">
        <v>34</v>
      </c>
      <c r="B4" s="2">
        <v>1</v>
      </c>
      <c r="C4" s="2">
        <v>2</v>
      </c>
      <c r="D4" s="2">
        <v>1</v>
      </c>
      <c r="E4" s="2" t="s">
        <v>32</v>
      </c>
      <c r="F4" s="3">
        <v>1832</v>
      </c>
      <c r="G4" s="3">
        <v>1832</v>
      </c>
      <c r="H4" s="3">
        <v>2700</v>
      </c>
    </row>
    <row r="5" spans="1:8" ht="18.75" thickBot="1" x14ac:dyDescent="0.3">
      <c r="A5" s="2" t="s">
        <v>35</v>
      </c>
      <c r="B5" s="2">
        <v>1</v>
      </c>
      <c r="C5" s="2">
        <v>2</v>
      </c>
      <c r="D5" s="2">
        <v>1</v>
      </c>
      <c r="E5" s="2" t="s">
        <v>32</v>
      </c>
      <c r="F5" s="3">
        <v>1898</v>
      </c>
      <c r="G5" s="3">
        <v>1898</v>
      </c>
      <c r="H5" s="3">
        <v>2700</v>
      </c>
    </row>
    <row r="6" spans="1:8" ht="18.75" thickBot="1" x14ac:dyDescent="0.3">
      <c r="A6" s="2" t="s">
        <v>36</v>
      </c>
      <c r="B6" s="2">
        <v>1</v>
      </c>
      <c r="C6" s="2">
        <v>2</v>
      </c>
      <c r="D6" s="2">
        <v>1</v>
      </c>
      <c r="E6" s="2" t="s">
        <v>32</v>
      </c>
      <c r="F6" s="3">
        <v>2046</v>
      </c>
      <c r="G6" s="3">
        <v>2046</v>
      </c>
      <c r="H6" s="3">
        <v>2700</v>
      </c>
    </row>
    <row r="7" spans="1:8" ht="18.75" thickBot="1" x14ac:dyDescent="0.3">
      <c r="A7" s="2" t="s">
        <v>37</v>
      </c>
      <c r="B7" s="2">
        <v>1</v>
      </c>
      <c r="C7" s="2">
        <v>1</v>
      </c>
      <c r="D7" s="2">
        <v>1</v>
      </c>
      <c r="E7" s="2" t="s">
        <v>32</v>
      </c>
      <c r="F7" s="3">
        <v>1831</v>
      </c>
      <c r="G7" s="3">
        <v>1831.21</v>
      </c>
      <c r="H7" s="3">
        <v>2200</v>
      </c>
    </row>
    <row r="8" spans="1:8" ht="18.75" thickBot="1" x14ac:dyDescent="0.3">
      <c r="A8" s="2" t="s">
        <v>38</v>
      </c>
      <c r="B8" s="2">
        <v>1</v>
      </c>
      <c r="C8" s="2">
        <v>1</v>
      </c>
      <c r="D8" s="2">
        <v>1</v>
      </c>
      <c r="E8" s="2" t="s">
        <v>32</v>
      </c>
      <c r="F8" s="3">
        <v>1920</v>
      </c>
      <c r="G8" s="3">
        <v>1920</v>
      </c>
      <c r="H8" s="3">
        <v>2200</v>
      </c>
    </row>
    <row r="9" spans="1:8" ht="18.75" thickBot="1" x14ac:dyDescent="0.3">
      <c r="A9" s="2" t="s">
        <v>39</v>
      </c>
      <c r="B9" s="2">
        <v>1</v>
      </c>
      <c r="C9" s="2">
        <v>1</v>
      </c>
      <c r="D9" s="2">
        <v>1</v>
      </c>
      <c r="E9" s="2" t="s">
        <v>32</v>
      </c>
      <c r="F9" s="3">
        <v>1795</v>
      </c>
      <c r="G9" s="3">
        <v>1795</v>
      </c>
      <c r="H9" s="3">
        <v>2200</v>
      </c>
    </row>
    <row r="10" spans="1:8" ht="18.75" thickBot="1" x14ac:dyDescent="0.3">
      <c r="A10" s="2" t="s">
        <v>40</v>
      </c>
      <c r="B10" s="2">
        <v>1</v>
      </c>
      <c r="C10" s="2">
        <v>1</v>
      </c>
      <c r="D10" s="2">
        <v>1</v>
      </c>
      <c r="E10" s="2" t="s">
        <v>32</v>
      </c>
      <c r="F10" s="3">
        <v>0</v>
      </c>
      <c r="G10" s="3">
        <v>2200</v>
      </c>
      <c r="H10" s="3">
        <v>2200</v>
      </c>
    </row>
    <row r="11" spans="1:8" x14ac:dyDescent="0.25">
      <c r="G11" s="4">
        <f>SUM(G2:G10)</f>
        <v>17448.21</v>
      </c>
    </row>
    <row r="13" spans="1:8" x14ac:dyDescent="0.25">
      <c r="G13" s="4">
        <f>G11*12</f>
        <v>209378.52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8EDF-9614-4AF9-9721-BEA59A68C005}">
  <dimension ref="A1:I6"/>
  <sheetViews>
    <sheetView workbookViewId="0">
      <selection activeCell="I6" sqref="I6"/>
    </sheetView>
  </sheetViews>
  <sheetFormatPr defaultRowHeight="15" x14ac:dyDescent="0.25"/>
  <cols>
    <col min="6" max="6" width="12.140625" bestFit="1" customWidth="1"/>
    <col min="7" max="7" width="14.85546875" bestFit="1" customWidth="1"/>
    <col min="8" max="8" width="18.28515625" bestFit="1" customWidth="1"/>
    <col min="9" max="9" width="11.85546875" bestFit="1" customWidth="1"/>
  </cols>
  <sheetData>
    <row r="1" spans="1:9" ht="18.75" thickBo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9" ht="19.5" thickTop="1" thickBot="1" x14ac:dyDescent="0.3">
      <c r="A2" s="2" t="s">
        <v>31</v>
      </c>
      <c r="B2" s="2">
        <v>7</v>
      </c>
      <c r="C2" s="2">
        <v>2</v>
      </c>
      <c r="D2" s="2">
        <v>1</v>
      </c>
      <c r="E2" s="2" t="s">
        <v>32</v>
      </c>
      <c r="F2" s="3">
        <v>2539</v>
      </c>
      <c r="G2" s="3">
        <v>1771</v>
      </c>
      <c r="H2" s="3">
        <v>18900</v>
      </c>
      <c r="I2" s="4">
        <f>F2*B2</f>
        <v>17773</v>
      </c>
    </row>
    <row r="3" spans="1:9" ht="18.75" thickBot="1" x14ac:dyDescent="0.3">
      <c r="A3" s="2" t="s">
        <v>33</v>
      </c>
      <c r="B3" s="2">
        <v>1</v>
      </c>
      <c r="C3" s="2">
        <v>1</v>
      </c>
      <c r="D3" s="2">
        <v>1</v>
      </c>
      <c r="E3" s="2" t="s">
        <v>32</v>
      </c>
      <c r="F3" s="3">
        <v>2332</v>
      </c>
      <c r="G3" s="3">
        <v>2350</v>
      </c>
      <c r="H3" s="3">
        <v>2350</v>
      </c>
      <c r="I3" s="4">
        <f>F3*B3</f>
        <v>2332</v>
      </c>
    </row>
    <row r="4" spans="1:9" x14ac:dyDescent="0.25">
      <c r="I4" s="4">
        <f>SUM(I2:I3)</f>
        <v>20105</v>
      </c>
    </row>
    <row r="6" spans="1:9" x14ac:dyDescent="0.25">
      <c r="I6" s="4">
        <f>I4*12</f>
        <v>241260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Export021126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Scher, Glen</dc:creator>
  <cp:lastModifiedBy>Scher, Glen</cp:lastModifiedBy>
  <dcterms:created xsi:type="dcterms:W3CDTF">2026-02-11T23:43:48Z</dcterms:created>
  <dcterms:modified xsi:type="dcterms:W3CDTF">2026-02-12T00:19:49Z</dcterms:modified>
</cp:coreProperties>
</file>